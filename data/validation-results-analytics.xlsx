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Validation Data" sheetId="1" state="visible" r:id="rId1"/>
    <sheet xmlns:r="http://schemas.openxmlformats.org/officeDocument/2006/relationships" name="Analytics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6" customWidth="1" min="4" max="4"/>
    <col width="16" customWidth="1" min="5" max="5"/>
    <col width="14" customWidth="1" min="6" max="6"/>
    <col width="18" customWidth="1" min="7" max="7"/>
    <col width="30" customWidth="1" min="8" max="8"/>
    <col width="18" customWidth="1" min="9" max="9"/>
    <col width="18" customWidth="1" min="10" max="10"/>
    <col width="45" customWidth="1" min="11" max="11"/>
    <col width="20" customWidth="1" min="12" max="12"/>
  </cols>
  <sheetData>
    <row r="1">
      <c r="A1" s="1" t="inlineStr">
        <is>
          <t>Test_User_ID</t>
        </is>
      </c>
      <c r="B1" s="1" t="inlineStr">
        <is>
          <t>User_Role</t>
        </is>
      </c>
      <c r="C1" s="1" t="inlineStr">
        <is>
          <t>Prototype_Version</t>
        </is>
      </c>
      <c r="D1" s="1" t="inlineStr">
        <is>
          <t>Main_Task</t>
        </is>
      </c>
      <c r="E1" s="1" t="inlineStr">
        <is>
          <t>Task_Completed</t>
        </is>
      </c>
      <c r="F1" s="1" t="inlineStr">
        <is>
          <t>Time_Seconds</t>
        </is>
      </c>
      <c r="G1" s="1" t="inlineStr">
        <is>
          <t>Confusion_Point</t>
        </is>
      </c>
      <c r="H1" s="1" t="inlineStr">
        <is>
          <t>Feature_Most_Useful</t>
        </is>
      </c>
      <c r="I1" s="1" t="inlineStr">
        <is>
          <t>Feedback_Score_1_5</t>
        </is>
      </c>
      <c r="J1" s="1" t="inlineStr">
        <is>
          <t>Interest_Level_1_5</t>
        </is>
      </c>
      <c r="K1" s="1" t="inlineStr">
        <is>
          <t>Comment</t>
        </is>
      </c>
      <c r="L1" s="1" t="inlineStr">
        <is>
          <t>Requirement_Affected</t>
        </is>
      </c>
    </row>
    <row r="2">
      <c r="A2" t="inlineStr">
        <is>
          <t>S01</t>
        </is>
      </c>
      <c r="B2" t="inlineStr">
        <is>
          <t>Student</t>
        </is>
      </c>
      <c r="C2" t="inlineStr">
        <is>
          <t>v1</t>
        </is>
      </c>
      <c r="D2" t="inlineStr">
        <is>
          <t>Submit schedule mismatch report</t>
        </is>
      </c>
      <c r="E2" t="inlineStr">
        <is>
          <t>Yes</t>
        </is>
      </c>
      <c r="F2" t="n">
        <v>92</v>
      </c>
      <c r="G2" t="inlineStr">
        <is>
          <t>No confusion</t>
        </is>
      </c>
      <c r="H2" t="inlineStr">
        <is>
          <t>Report an Issue button</t>
        </is>
      </c>
      <c r="I2" t="n">
        <v>5</v>
      </c>
      <c r="J2" t="n">
        <v>5</v>
      </c>
      <c r="K2" t="inlineStr">
        <is>
          <t>Submitted a report quickly straight from the class detail screen.</t>
        </is>
      </c>
      <c r="L2" t="inlineStr">
        <is>
          <t>FR-03</t>
        </is>
      </c>
    </row>
    <row r="3">
      <c r="A3" t="inlineStr">
        <is>
          <t>S01</t>
        </is>
      </c>
      <c r="B3" t="inlineStr">
        <is>
          <t>Student</t>
        </is>
      </c>
      <c r="C3" t="inlineStr">
        <is>
          <t>v1</t>
        </is>
      </c>
      <c r="D3" t="inlineStr">
        <is>
          <t>Search class by course code</t>
        </is>
      </c>
      <c r="E3" t="inlineStr">
        <is>
          <t>Yes</t>
        </is>
      </c>
      <c r="F3" t="n">
        <v>68</v>
      </c>
      <c r="G3" t="inlineStr">
        <is>
          <t>No confusion</t>
        </is>
      </c>
      <c r="H3" t="inlineStr">
        <is>
          <t>Search by course code</t>
        </is>
      </c>
      <c r="I3" t="n">
        <v>5</v>
      </c>
      <c r="J3" t="n">
        <v>5</v>
      </c>
      <c r="K3" t="inlineStr">
        <is>
          <t>Found the class almost instantly.</t>
        </is>
      </c>
      <c r="L3" t="inlineStr">
        <is>
          <t>FR-06</t>
        </is>
      </c>
    </row>
    <row r="4">
      <c r="A4" t="inlineStr">
        <is>
          <t>S01</t>
        </is>
      </c>
      <c r="B4" t="inlineStr">
        <is>
          <t>Student</t>
        </is>
      </c>
      <c r="C4" t="inlineStr">
        <is>
          <t>v1</t>
        </is>
      </c>
      <c r="D4" t="inlineStr">
        <is>
          <t>Check class status</t>
        </is>
      </c>
      <c r="E4" t="inlineStr">
        <is>
          <t>Yes</t>
        </is>
      </c>
      <c r="F4" t="n">
        <v>70</v>
      </c>
      <c r="G4" t="inlineStr">
        <is>
          <t>No confusion</t>
        </is>
      </c>
      <c r="H4" t="inlineStr">
        <is>
          <t>Status label (Confirmed/Room Changed/Cancelled)</t>
        </is>
      </c>
      <c r="I4" t="n">
        <v>5</v>
      </c>
      <c r="J4" t="n">
        <v>5</v>
      </c>
      <c r="K4" t="inlineStr">
        <is>
          <t>Understood the status label right away.</t>
        </is>
      </c>
      <c r="L4" t="inlineStr">
        <is>
          <t>FR-08</t>
        </is>
      </c>
    </row>
    <row r="5">
      <c r="A5" t="inlineStr">
        <is>
          <t>S02</t>
        </is>
      </c>
      <c r="B5" t="inlineStr">
        <is>
          <t>Student</t>
        </is>
      </c>
      <c r="C5" t="inlineStr">
        <is>
          <t>v1</t>
        </is>
      </c>
      <c r="D5" t="inlineStr">
        <is>
          <t>Submit schedule mismatch report</t>
        </is>
      </c>
      <c r="E5" t="inlineStr">
        <is>
          <t>Yes</t>
        </is>
      </c>
      <c r="F5" t="n">
        <v>118</v>
      </c>
      <c r="G5" t="inlineStr">
        <is>
          <t>Form fields</t>
        </is>
      </c>
      <c r="H5" t="inlineStr">
        <is>
          <t>Report an Issue button</t>
        </is>
      </c>
      <c r="I5" t="n">
        <v>4</v>
      </c>
      <c r="J5" t="n">
        <v>4</v>
      </c>
      <c r="K5" t="inlineStr">
        <is>
          <t>Needs a clearer optional/required hint on the Description field.</t>
        </is>
      </c>
      <c r="L5" t="inlineStr">
        <is>
          <t>FR-10</t>
        </is>
      </c>
    </row>
    <row r="6">
      <c r="A6" t="inlineStr">
        <is>
          <t>S02</t>
        </is>
      </c>
      <c r="B6" t="inlineStr">
        <is>
          <t>Student</t>
        </is>
      </c>
      <c r="C6" t="inlineStr">
        <is>
          <t>v1</t>
        </is>
      </c>
      <c r="D6" t="inlineStr">
        <is>
          <t>Search class by room number</t>
        </is>
      </c>
      <c r="E6" t="inlineStr">
        <is>
          <t>Yes</t>
        </is>
      </c>
      <c r="F6" t="n">
        <v>80</v>
      </c>
      <c r="G6" t="inlineStr">
        <is>
          <t>No confusion</t>
        </is>
      </c>
      <c r="H6" t="inlineStr">
        <is>
          <t>Search by room number</t>
        </is>
      </c>
      <c r="I6" t="n">
        <v>4</v>
      </c>
      <c r="J6" t="n">
        <v>4</v>
      </c>
      <c r="K6" t="inlineStr">
        <is>
          <t>Search by room worked as expected.</t>
        </is>
      </c>
      <c r="L6" t="inlineStr">
        <is>
          <t>FR-06</t>
        </is>
      </c>
    </row>
    <row r="7">
      <c r="A7" t="inlineStr">
        <is>
          <t>S02</t>
        </is>
      </c>
      <c r="B7" t="inlineStr">
        <is>
          <t>Student</t>
        </is>
      </c>
      <c r="C7" t="inlineStr">
        <is>
          <t>v1</t>
        </is>
      </c>
      <c r="D7" t="inlineStr">
        <is>
          <t>View class detail</t>
        </is>
      </c>
      <c r="E7" t="inlineStr">
        <is>
          <t>Yes</t>
        </is>
      </c>
      <c r="F7" t="n">
        <v>64</v>
      </c>
      <c r="G7" t="inlineStr">
        <is>
          <t>No confusion</t>
        </is>
      </c>
      <c r="H7" t="inlineStr">
        <is>
          <t>Class detail view</t>
        </is>
      </c>
      <c r="I7" t="n">
        <v>5</v>
      </c>
      <c r="J7" t="n">
        <v>5</v>
      </c>
      <c r="K7" t="inlineStr">
        <is>
          <t>Room, time, and lecturer were all clear.</t>
        </is>
      </c>
      <c r="L7" t="inlineStr">
        <is>
          <t>FR-07</t>
        </is>
      </c>
    </row>
    <row r="8">
      <c r="A8" t="inlineStr">
        <is>
          <t>S03</t>
        </is>
      </c>
      <c r="B8" t="inlineStr">
        <is>
          <t>Student</t>
        </is>
      </c>
      <c r="C8" t="inlineStr">
        <is>
          <t>v1</t>
        </is>
      </c>
      <c r="D8" t="inlineStr">
        <is>
          <t>Submit schedule mismatch report</t>
        </is>
      </c>
      <c r="E8" t="inlineStr">
        <is>
          <t>No</t>
        </is>
      </c>
      <c r="F8" t="n">
        <v>205</v>
      </c>
      <c r="G8" t="inlineStr">
        <is>
          <t>Form validation</t>
        </is>
      </c>
      <c r="H8" t="inlineStr">
        <is>
          <t>Report an Issue button</t>
        </is>
      </c>
      <c r="I8" t="n">
        <v>3</v>
      </c>
      <c r="J8" t="n">
        <v>3</v>
      </c>
      <c r="K8" t="inlineStr">
        <is>
          <t>Needed a second attempt after missing the required-field error.</t>
        </is>
      </c>
      <c r="L8" t="inlineStr">
        <is>
          <t>FR-10</t>
        </is>
      </c>
    </row>
    <row r="9">
      <c r="A9" t="inlineStr">
        <is>
          <t>S03</t>
        </is>
      </c>
      <c r="B9" t="inlineStr">
        <is>
          <t>Student</t>
        </is>
      </c>
      <c r="C9" t="inlineStr">
        <is>
          <t>v1</t>
        </is>
      </c>
      <c r="D9" t="inlineStr">
        <is>
          <t>Search class by course code</t>
        </is>
      </c>
      <c r="E9" t="inlineStr">
        <is>
          <t>Yes</t>
        </is>
      </c>
      <c r="F9" t="n">
        <v>75</v>
      </c>
      <c r="G9" t="inlineStr">
        <is>
          <t>No confusion</t>
        </is>
      </c>
      <c r="H9" t="inlineStr">
        <is>
          <t>Search by course code</t>
        </is>
      </c>
      <c r="I9" t="n">
        <v>4</v>
      </c>
      <c r="J9" t="n">
        <v>4</v>
      </c>
      <c r="K9" t="inlineStr">
        <is>
          <t>Search worked fine once on the schedule screen.</t>
        </is>
      </c>
      <c r="L9" t="inlineStr">
        <is>
          <t>FR-06</t>
        </is>
      </c>
    </row>
    <row r="10">
      <c r="A10" t="inlineStr">
        <is>
          <t>S03</t>
        </is>
      </c>
      <c r="B10" t="inlineStr">
        <is>
          <t>Student</t>
        </is>
      </c>
      <c r="C10" t="inlineStr">
        <is>
          <t>v1</t>
        </is>
      </c>
      <c r="D10" t="inlineStr">
        <is>
          <t>Check class status</t>
        </is>
      </c>
      <c r="E10" t="inlineStr">
        <is>
          <t>Yes</t>
        </is>
      </c>
      <c r="F10" t="n">
        <v>88</v>
      </c>
      <c r="G10" t="inlineStr">
        <is>
          <t>No confusion</t>
        </is>
      </c>
      <c r="H10" t="inlineStr">
        <is>
          <t>Status label (Confirmed/Room Changed/Cancelled)</t>
        </is>
      </c>
      <c r="I10" t="n">
        <v>4</v>
      </c>
      <c r="J10" t="n">
        <v>4</v>
      </c>
      <c r="K10" t="inlineStr">
        <is>
          <t>Correctly explained why a class was cancelled.</t>
        </is>
      </c>
      <c r="L10" t="inlineStr">
        <is>
          <t>FR-08</t>
        </is>
      </c>
    </row>
    <row r="11">
      <c r="A11" t="inlineStr">
        <is>
          <t>S04</t>
        </is>
      </c>
      <c r="B11" t="inlineStr">
        <is>
          <t>Student</t>
        </is>
      </c>
      <c r="C11" t="inlineStr">
        <is>
          <t>v1</t>
        </is>
      </c>
      <c r="D11" t="inlineStr">
        <is>
          <t>View class detail</t>
        </is>
      </c>
      <c r="E11" t="inlineStr">
        <is>
          <t>Yes</t>
        </is>
      </c>
      <c r="F11" t="n">
        <v>60</v>
      </c>
      <c r="G11" t="inlineStr">
        <is>
          <t>No confusion</t>
        </is>
      </c>
      <c r="H11" t="inlineStr">
        <is>
          <t>Class detail view</t>
        </is>
      </c>
      <c r="I11" t="n">
        <v>5</v>
      </c>
      <c r="J11" t="n">
        <v>5</v>
      </c>
      <c r="K11" t="inlineStr">
        <is>
          <t>Liked seeing the old vs new room for a Room Changed class.</t>
        </is>
      </c>
      <c r="L11" t="inlineStr">
        <is>
          <t>FR-07</t>
        </is>
      </c>
    </row>
    <row r="12">
      <c r="A12" t="inlineStr">
        <is>
          <t>S04</t>
        </is>
      </c>
      <c r="B12" t="inlineStr">
        <is>
          <t>Student</t>
        </is>
      </c>
      <c r="C12" t="inlineStr">
        <is>
          <t>v1</t>
        </is>
      </c>
      <c r="D12" t="inlineStr">
        <is>
          <t>Submit schedule mismatch report</t>
        </is>
      </c>
      <c r="E12" t="inlineStr">
        <is>
          <t>Yes</t>
        </is>
      </c>
      <c r="F12" t="n">
        <v>95</v>
      </c>
      <c r="G12" t="inlineStr">
        <is>
          <t>No confusion</t>
        </is>
      </c>
      <c r="H12" t="inlineStr">
        <is>
          <t>Report an Issue button</t>
        </is>
      </c>
      <c r="I12" t="n">
        <v>4</v>
      </c>
      <c r="J12" t="n">
        <v>4</v>
      </c>
      <c r="K12" t="inlineStr">
        <is>
          <t>Prefilled course/room made the form faster to fill in.</t>
        </is>
      </c>
      <c r="L12" t="inlineStr">
        <is>
          <t>FR-03</t>
        </is>
      </c>
    </row>
    <row r="13">
      <c r="A13" t="inlineStr">
        <is>
          <t>S04</t>
        </is>
      </c>
      <c r="B13" t="inlineStr">
        <is>
          <t>Student</t>
        </is>
      </c>
      <c r="C13" t="inlineStr">
        <is>
          <t>v1</t>
        </is>
      </c>
      <c r="D13" t="inlineStr">
        <is>
          <t>Search class by room number</t>
        </is>
      </c>
      <c r="E13" t="inlineStr">
        <is>
          <t>Yes</t>
        </is>
      </c>
      <c r="F13" t="n">
        <v>72</v>
      </c>
      <c r="G13" t="inlineStr">
        <is>
          <t>No confusion</t>
        </is>
      </c>
      <c r="H13" t="inlineStr">
        <is>
          <t>Search by room number</t>
        </is>
      </c>
      <c r="I13" t="n">
        <v>5</v>
      </c>
      <c r="J13" t="n">
        <v>5</v>
      </c>
      <c r="K13" t="inlineStr">
        <is>
          <t>Fast search on mobile.</t>
        </is>
      </c>
      <c r="L13" t="inlineStr">
        <is>
          <t>FR-06</t>
        </is>
      </c>
    </row>
    <row r="14">
      <c r="A14" t="inlineStr">
        <is>
          <t>S05</t>
        </is>
      </c>
      <c r="B14" t="inlineStr">
        <is>
          <t>Student</t>
        </is>
      </c>
      <c r="C14" t="inlineStr">
        <is>
          <t>v1</t>
        </is>
      </c>
      <c r="D14" t="inlineStr">
        <is>
          <t>Check class status</t>
        </is>
      </c>
      <c r="E14" t="inlineStr">
        <is>
          <t>Yes</t>
        </is>
      </c>
      <c r="F14" t="n">
        <v>85</v>
      </c>
      <c r="G14" t="inlineStr">
        <is>
          <t>No confusion</t>
        </is>
      </c>
      <c r="H14" t="inlineStr">
        <is>
          <t>Status label (Confirmed/Room Changed/Cancelled)</t>
        </is>
      </c>
      <c r="I14" t="n">
        <v>4</v>
      </c>
      <c r="J14" t="n">
        <v>4</v>
      </c>
      <c r="K14" t="inlineStr">
        <is>
          <t>Status colors made it easy to scan the schedule.</t>
        </is>
      </c>
      <c r="L14" t="inlineStr">
        <is>
          <t>FR-08</t>
        </is>
      </c>
    </row>
    <row r="15">
      <c r="A15" t="inlineStr">
        <is>
          <t>S05</t>
        </is>
      </c>
      <c r="B15" t="inlineStr">
        <is>
          <t>Student</t>
        </is>
      </c>
      <c r="C15" t="inlineStr">
        <is>
          <t>v1</t>
        </is>
      </c>
      <c r="D15" t="inlineStr">
        <is>
          <t>View class detail</t>
        </is>
      </c>
      <c r="E15" t="inlineStr">
        <is>
          <t>Yes</t>
        </is>
      </c>
      <c r="F15" t="n">
        <v>62</v>
      </c>
      <c r="G15" t="inlineStr">
        <is>
          <t>No confusion</t>
        </is>
      </c>
      <c r="H15" t="inlineStr">
        <is>
          <t>Class detail view</t>
        </is>
      </c>
      <c r="I15" t="n">
        <v>5</v>
      </c>
      <c r="J15" t="n">
        <v>5</v>
      </c>
      <c r="K15" t="inlineStr">
        <is>
          <t>Detail page was clear and complete.</t>
        </is>
      </c>
      <c r="L15" t="inlineStr">
        <is>
          <t>FR-07</t>
        </is>
      </c>
    </row>
    <row r="16">
      <c r="A16" t="inlineStr">
        <is>
          <t>S05</t>
        </is>
      </c>
      <c r="B16" t="inlineStr">
        <is>
          <t>Student</t>
        </is>
      </c>
      <c r="C16" t="inlineStr">
        <is>
          <t>v1</t>
        </is>
      </c>
      <c r="D16" t="inlineStr">
        <is>
          <t>Submit schedule mismatch report</t>
        </is>
      </c>
      <c r="E16" t="inlineStr">
        <is>
          <t>Yes</t>
        </is>
      </c>
      <c r="F16" t="n">
        <v>100</v>
      </c>
      <c r="G16" t="inlineStr">
        <is>
          <t>No confusion</t>
        </is>
      </c>
      <c r="H16" t="inlineStr">
        <is>
          <t>Confirmation message after submitting</t>
        </is>
      </c>
      <c r="I16" t="n">
        <v>4</v>
      </c>
      <c r="J16" t="n">
        <v>4</v>
      </c>
      <c r="K16" t="inlineStr">
        <is>
          <t>Confirmation screen made it clear the report went through.</t>
        </is>
      </c>
      <c r="L16" t="inlineStr">
        <is>
          <t>FR-11</t>
        </is>
      </c>
    </row>
    <row r="17">
      <c r="A17" t="inlineStr">
        <is>
          <t>A01</t>
        </is>
      </c>
      <c r="B17" t="inlineStr">
        <is>
          <t>Admin/Staff</t>
        </is>
      </c>
      <c r="C17" t="inlineStr">
        <is>
          <t>v1</t>
        </is>
      </c>
      <c r="D17" t="inlineStr">
        <is>
          <t>Update class status</t>
        </is>
      </c>
      <c r="E17" t="inlineStr">
        <is>
          <t>Yes</t>
        </is>
      </c>
      <c r="F17" t="n">
        <v>132</v>
      </c>
      <c r="G17" t="inlineStr">
        <is>
          <t>Admin dashboard</t>
        </is>
      </c>
      <c r="H17" t="inlineStr">
        <is>
          <t>Admin status update form</t>
        </is>
      </c>
      <c r="I17" t="n">
        <v>4</v>
      </c>
      <c r="J17" t="n">
        <v>4</v>
      </c>
      <c r="K17" t="inlineStr">
        <is>
          <t>Useful overall, but the field order needs a clearer hint.</t>
        </is>
      </c>
      <c r="L17" t="inlineStr">
        <is>
          <t>FR-09</t>
        </is>
      </c>
    </row>
    <row r="18">
      <c r="A18" t="inlineStr">
        <is>
          <t>A01</t>
        </is>
      </c>
      <c r="B18" t="inlineStr">
        <is>
          <t>Admin/Staff</t>
        </is>
      </c>
      <c r="C18" t="inlineStr">
        <is>
          <t>v1</t>
        </is>
      </c>
      <c r="D18" t="inlineStr">
        <is>
          <t>Check dashboard summary</t>
        </is>
      </c>
      <c r="E18" t="inlineStr">
        <is>
          <t>Yes</t>
        </is>
      </c>
      <c r="F18" t="n">
        <v>58</v>
      </c>
      <c r="G18" t="inlineStr">
        <is>
          <t>No confusion</t>
        </is>
      </c>
      <c r="H18" t="inlineStr">
        <is>
          <t>Dashboard summary cards</t>
        </is>
      </c>
      <c r="I18" t="n">
        <v>5</v>
      </c>
      <c r="J18" t="n">
        <v>5</v>
      </c>
      <c r="K18" t="inlineStr">
        <is>
          <t>Summary cards made it obvious what needed review first.</t>
        </is>
      </c>
      <c r="L18" t="inlineStr">
        <is>
          <t>FR-12</t>
        </is>
      </c>
    </row>
    <row r="19">
      <c r="A19" t="inlineStr">
        <is>
          <t>A02</t>
        </is>
      </c>
      <c r="B19" t="inlineStr">
        <is>
          <t>Admin/Staff</t>
        </is>
      </c>
      <c r="C19" t="inlineStr">
        <is>
          <t>v1</t>
        </is>
      </c>
      <c r="D19" t="inlineStr">
        <is>
          <t>Update class status</t>
        </is>
      </c>
      <c r="E19" t="inlineStr">
        <is>
          <t>Yes</t>
        </is>
      </c>
      <c r="F19" t="n">
        <v>110</v>
      </c>
      <c r="G19" t="inlineStr">
        <is>
          <t>No confusion</t>
        </is>
      </c>
      <c r="H19" t="inlineStr">
        <is>
          <t>Admin status update form</t>
        </is>
      </c>
      <c r="I19" t="n">
        <v>5</v>
      </c>
      <c r="J19" t="n">
        <v>5</v>
      </c>
      <c r="K19" t="inlineStr">
        <is>
          <t>Status update correctly reflected back on the student side.</t>
        </is>
      </c>
      <c r="L19" t="inlineStr">
        <is>
          <t>FR-09</t>
        </is>
      </c>
    </row>
    <row r="20">
      <c r="A20" t="inlineStr">
        <is>
          <t>A02</t>
        </is>
      </c>
      <c r="B20" t="inlineStr">
        <is>
          <t>Admin/Staff</t>
        </is>
      </c>
      <c r="C20" t="inlineStr">
        <is>
          <t>v1</t>
        </is>
      </c>
      <c r="D20" t="inlineStr">
        <is>
          <t>Check dashboard summary</t>
        </is>
      </c>
      <c r="E20" t="inlineStr">
        <is>
          <t>Yes</t>
        </is>
      </c>
      <c r="F20" t="n">
        <v>55</v>
      </c>
      <c r="G20" t="inlineStr">
        <is>
          <t>No confusion</t>
        </is>
      </c>
      <c r="H20" t="inlineStr">
        <is>
          <t>Recent Reports table linking to the matching class</t>
        </is>
      </c>
      <c r="I20" t="n">
        <v>5</v>
      </c>
      <c r="J20" t="n">
        <v>5</v>
      </c>
      <c r="K20" t="inlineStr">
        <is>
          <t>Would use this instead of checking a shared chat for reports.</t>
        </is>
      </c>
      <c r="L20" t="inlineStr">
        <is>
          <t>FR-12</t>
        </is>
      </c>
    </row>
    <row r="21">
      <c r="A21" t="inlineStr">
        <is>
          <t>A01</t>
        </is>
      </c>
      <c r="B21" t="inlineStr">
        <is>
          <t>Admin/Staff</t>
        </is>
      </c>
      <c r="C21" t="inlineStr">
        <is>
          <t>v1</t>
        </is>
      </c>
      <c r="D21" t="inlineStr">
        <is>
          <t>Update class status</t>
        </is>
      </c>
      <c r="E21" t="inlineStr">
        <is>
          <t>Yes</t>
        </is>
      </c>
      <c r="F21" t="n">
        <v>120</v>
      </c>
      <c r="G21" t="inlineStr">
        <is>
          <t>No confusion</t>
        </is>
      </c>
      <c r="H21" t="inlineStr">
        <is>
          <t>Admin status update form</t>
        </is>
      </c>
      <c r="I21" t="n">
        <v>4</v>
      </c>
      <c r="J21" t="n">
        <v>4</v>
      </c>
      <c r="K21" t="inlineStr">
        <is>
          <t>Second edit went smoothly now that the field order was familiar.</t>
        </is>
      </c>
      <c r="L21" t="inlineStr">
        <is>
          <t>FR-08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" customWidth="1" min="3" max="3"/>
    <col width="20" customWidth="1" min="4" max="4"/>
    <col width="10" customWidth="1" min="5" max="5"/>
    <col width="42" customWidth="1" min="6" max="6"/>
  </cols>
  <sheetData>
    <row r="1">
      <c r="A1" s="2" t="inlineStr">
        <is>
          <t>Lab 08 Customer Validation Analytics Dashboard — SmartTimetable (Team DigiTry)</t>
        </is>
      </c>
    </row>
    <row r="3">
      <c r="A3" s="3" t="inlineStr">
        <is>
          <t>Metric</t>
        </is>
      </c>
      <c r="B3" s="3" t="inlineStr">
        <is>
          <t>Formula / Value</t>
        </is>
      </c>
      <c r="D3" s="3" t="inlineStr">
        <is>
          <t>Confusion Category</t>
        </is>
      </c>
      <c r="E3" s="3" t="inlineStr">
        <is>
          <t>Count</t>
        </is>
      </c>
      <c r="F3" s="3" t="inlineStr">
        <is>
          <t>Interpretation</t>
        </is>
      </c>
    </row>
    <row r="4">
      <c r="A4" t="inlineStr">
        <is>
          <t>Total test attempts logged</t>
        </is>
      </c>
      <c r="B4">
        <f>COUNTA('Raw Validation Data'!A2:A21)</f>
        <v/>
      </c>
      <c r="D4" t="inlineStr">
        <is>
          <t>No confusion</t>
        </is>
      </c>
      <c r="E4">
        <f>COUNTIF('Raw Validation Data'!G2:G21,D4)</f>
        <v/>
      </c>
      <c r="F4" t="inlineStr">
        <is>
          <t>The workflow was easy to follow.</t>
        </is>
      </c>
    </row>
    <row r="5">
      <c r="A5" t="inlineStr">
        <is>
          <t>Completed tasks</t>
        </is>
      </c>
      <c r="B5">
        <f>COUNTIF('Raw Validation Data'!E2:E21,"Yes")</f>
        <v/>
      </c>
      <c r="D5" t="inlineStr">
        <is>
          <t>Form fields</t>
        </is>
      </c>
      <c r="E5">
        <f>COUNTIF('Raw Validation Data'!G2:G21,D5)</f>
        <v/>
      </c>
      <c r="F5" t="inlineStr">
        <is>
          <t>Report form field labels (required vs optional) may need revision.</t>
        </is>
      </c>
    </row>
    <row r="6">
      <c r="A6" t="inlineStr">
        <is>
          <t>Task success rate</t>
        </is>
      </c>
      <c r="B6">
        <f>IF(B4=0,0,B5/B4)</f>
        <v/>
      </c>
      <c r="D6" t="inlineStr">
        <is>
          <t>Form validation</t>
        </is>
      </c>
      <c r="E6">
        <f>COUNTIF('Raw Validation Data'!G2:G21,D6)</f>
        <v/>
      </c>
      <c r="F6" t="inlineStr">
        <is>
          <t>Required-field error messages need to be more noticeable.</t>
        </is>
      </c>
    </row>
    <row r="7">
      <c r="A7" t="inlineStr">
        <is>
          <t>Average feedback score</t>
        </is>
      </c>
      <c r="B7" s="4">
        <f>AVERAGE('Raw Validation Data'!I2:I21)</f>
        <v/>
      </c>
      <c r="D7" t="inlineStr">
        <is>
          <t>Admin dashboard</t>
        </is>
      </c>
      <c r="E7">
        <f>COUNTIF('Raw Validation Data'!G2:G21,D7)</f>
        <v/>
      </c>
      <c r="F7" t="inlineStr">
        <is>
          <t>Admin status-update field order needs a clearer hint.</t>
        </is>
      </c>
    </row>
    <row r="8">
      <c r="A8" t="inlineStr">
        <is>
          <t>Average interest level</t>
        </is>
      </c>
      <c r="B8">
        <f>AVERAGE('Raw Validation Data'!J2:J21)</f>
        <v/>
      </c>
      <c r="D8" t="inlineStr">
        <is>
          <t>Search/filter</t>
        </is>
      </c>
      <c r="E8">
        <f>COUNTIF('Raw Validation Data'!G2:G21,D8)</f>
        <v/>
      </c>
      <c r="F8" t="inlineStr">
        <is>
          <t>No issues reported — keep as-is.</t>
        </is>
      </c>
    </row>
    <row r="9">
      <c r="A9" t="inlineStr">
        <is>
          <t>Attempts with a confusion point</t>
        </is>
      </c>
      <c r="B9">
        <f>COUNTIFS('Raw Validation Data'!A2:A21,"&lt;&gt;",'Raw Validation Data'!G2:G21,"&lt;&gt;No confusion")</f>
        <v/>
      </c>
      <c r="D9" t="inlineStr">
        <is>
          <t>Status tracking</t>
        </is>
      </c>
      <c r="E9">
        <f>COUNTIF('Raw Validation Data'!G2:G21,D9)</f>
        <v/>
      </c>
      <c r="F9" t="inlineStr">
        <is>
          <t>No issues reported — keep as-is.</t>
        </is>
      </c>
    </row>
    <row r="10">
      <c r="A10" t="inlineStr">
        <is>
          <t>Evidence-based decision</t>
        </is>
      </c>
      <c r="B10">
        <f>IF(B6&gt;=0.75,"Validated / Continue","Partially validated / Revise")</f>
        <v/>
      </c>
    </row>
    <row r="12">
      <c r="A12" s="5" t="inlineStr">
        <is>
          <t>Team Interpretation Checklist</t>
        </is>
      </c>
    </row>
    <row r="13">
      <c r="A13" s="6" t="inlineStr">
        <is>
          <t>Question</t>
        </is>
      </c>
      <c r="B13" s="6" t="inlineStr">
        <is>
          <t>Team Answer / Evidence</t>
        </is>
      </c>
    </row>
    <row r="14">
      <c r="A14" t="inlineStr">
        <is>
          <t>Which main task had the lowest completion?</t>
        </is>
      </c>
    </row>
    <row r="15">
      <c r="A15" t="inlineStr">
        <is>
          <t>Which screen or feature confused users most?</t>
        </is>
      </c>
    </row>
    <row r="16">
      <c r="A16" t="inlineStr">
        <is>
          <t>Which requirement needs improvement before implementation?</t>
        </is>
      </c>
    </row>
    <row r="17">
      <c r="A17" t="inlineStr">
        <is>
          <t>Which MVP feature should be kept as must-have?</t>
        </is>
      </c>
    </row>
    <row r="18">
      <c r="A18" t="inlineStr">
        <is>
          <t>Decision: continue, revise, or pivot? Explain.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2026-07-17T11:54:24Z</dcterms:created>
  <dcterms:modified xmlns:dcterms="http://purl.org/dc/terms/" xmlns:xsi="http://www.w3.org/2001/XMLSchema-instance" xsi:type="dcterms:W3CDTF">2026-07-17T11:54:24Z</dcterms:modified>
</cp:coreProperties>
</file>